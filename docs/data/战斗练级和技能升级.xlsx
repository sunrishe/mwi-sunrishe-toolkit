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专业练级" sheetId="1" r:id="rId1"/>
    <sheet name="专业经验表" sheetId="2" r:id="rId2"/>
  </sheets>
  <calcPr calcId="144525"/>
</workbook>
</file>

<file path=xl/sharedStrings.xml><?xml version="1.0" encoding="utf-8"?>
<sst xmlns="http://schemas.openxmlformats.org/spreadsheetml/2006/main" count="50" uniqueCount="44">
  <si>
    <t>战斗练级</t>
  </si>
  <si>
    <t>专业</t>
  </si>
  <si>
    <t>目标等级</t>
  </si>
  <si>
    <t>当前等级</t>
  </si>
  <si>
    <t>实际经验</t>
  </si>
  <si>
    <t>小时经验(K)</t>
  </si>
  <si>
    <t>升级所需经验</t>
  </si>
  <si>
    <t>总时间(小时)</t>
  </si>
  <si>
    <t>总时间(天)</t>
  </si>
  <si>
    <t>升级顺序</t>
  </si>
  <si>
    <t>预计升级时间</t>
  </si>
  <si>
    <t>EPH</t>
  </si>
  <si>
    <t>总次数</t>
  </si>
  <si>
    <t>近战</t>
  </si>
  <si>
    <t>远程</t>
  </si>
  <si>
    <t>防御</t>
  </si>
  <si>
    <t>魔法</t>
  </si>
  <si>
    <t>技能造价表</t>
  </si>
  <si>
    <t>对象</t>
  </si>
  <si>
    <t>技能</t>
  </si>
  <si>
    <t>技能书经验</t>
  </si>
  <si>
    <t>当前经验</t>
  </si>
  <si>
    <t>需要数量</t>
  </si>
  <si>
    <t>左一价格(K)</t>
  </si>
  <si>
    <t>右一价格(K)</t>
  </si>
  <si>
    <t>左一总价(K)</t>
  </si>
  <si>
    <t>右一总价(K)</t>
  </si>
  <si>
    <t>模板</t>
  </si>
  <si>
    <t>锤</t>
  </si>
  <si>
    <t>物理光环</t>
  </si>
  <si>
    <t>狂速</t>
  </si>
  <si>
    <t>狂暴</t>
  </si>
  <si>
    <t>碎裂冲击</t>
  </si>
  <si>
    <t>重扫</t>
  </si>
  <si>
    <t>自然法</t>
  </si>
  <si>
    <t>暴击光环</t>
  </si>
  <si>
    <t>守护光环</t>
  </si>
  <si>
    <t>元素增幅</t>
  </si>
  <si>
    <t>快速治疗</t>
  </si>
  <si>
    <t>自然菌幕</t>
  </si>
  <si>
    <t>剧毒粉尘</t>
  </si>
  <si>
    <t>缠绕</t>
  </si>
  <si>
    <t>等级</t>
  </si>
  <si>
    <t>总经验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</si>
</sst>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mm/dd\ hh:mm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2" borderId="2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2" borderId="0" xfId="0" applyFill="1">
      <alignment vertical="center"/>
    </xf>
    <xf numFmtId="3" fontId="0" fillId="2" borderId="0" xfId="0" applyNumberForma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0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4" fontId="0" fillId="0" borderId="1" xfId="0" applyNumberFormat="1" applyBorder="1">
      <alignment vertical="center"/>
    </xf>
    <xf numFmtId="10" fontId="0" fillId="0" borderId="1" xfId="0" applyNumberFormat="1" applyFont="1" applyFill="1" applyBorder="1" applyAlignment="1" applyProtection="1">
      <alignment vertical="center"/>
    </xf>
    <xf numFmtId="10" fontId="0" fillId="0" borderId="0" xfId="0" applyNumberFormat="1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0" borderId="1" xfId="0" applyBorder="1" applyAlignment="1">
      <alignment horizontal="left"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workbookViewId="0">
      <selection activeCell="G7" sqref="G7"/>
    </sheetView>
  </sheetViews>
  <sheetFormatPr defaultColWidth="9" defaultRowHeight="13.5"/>
  <cols>
    <col min="1" max="1" width="8.875" customWidth="1"/>
    <col min="2" max="3" width="10.875" customWidth="1"/>
    <col min="4" max="4" width="8.875" customWidth="1"/>
    <col min="5" max="5" width="12.125" customWidth="1"/>
    <col min="6" max="6" width="12.875" style="1" customWidth="1"/>
    <col min="7" max="7" width="13.125" customWidth="1"/>
    <col min="8" max="8" width="12.625" customWidth="1"/>
    <col min="9" max="10" width="12.875" customWidth="1"/>
    <col min="11" max="11" width="13.125" customWidth="1"/>
    <col min="12" max="12" width="11" customWidth="1"/>
  </cols>
  <sheetData>
    <row r="1" spans="1:1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5" t="s">
        <v>7</v>
      </c>
      <c r="H2" s="5" t="s">
        <v>8</v>
      </c>
      <c r="I2" s="8" t="s">
        <v>9</v>
      </c>
      <c r="J2" s="5" t="s">
        <v>10</v>
      </c>
      <c r="K2" s="5" t="s">
        <v>11</v>
      </c>
      <c r="L2" s="5" t="s">
        <v>12</v>
      </c>
    </row>
    <row r="3" spans="1:12">
      <c r="A3" s="5" t="s">
        <v>13</v>
      </c>
      <c r="B3" s="5">
        <v>85</v>
      </c>
      <c r="C3" s="5">
        <v>76</v>
      </c>
      <c r="D3" s="7">
        <v>0.1718</v>
      </c>
      <c r="E3" s="8">
        <v>238</v>
      </c>
      <c r="F3" s="6">
        <f>(VLOOKUP(IF(B3&gt;200,200,B3),专业经验表!$A$2:$C$201,2,FALSE)-VLOOKUP(C3,专业经验表!$A$2:$C$201,2,FALSE)-VLOOKUP(C3,专业经验表!$A$2:$C$201,3,FALSE)*D3)</f>
        <v>1481897.1176</v>
      </c>
      <c r="G3" s="9">
        <f t="shared" ref="G3:G7" si="0">F3/$E3/1000</f>
        <v>6.22645847731092</v>
      </c>
      <c r="H3" s="10">
        <f t="shared" ref="H3:H7" si="1">G3/24</f>
        <v>0.259435769887955</v>
      </c>
      <c r="I3" s="8">
        <v>1</v>
      </c>
      <c r="J3" s="17">
        <f ca="1" t="shared" ref="J3:J7" si="2">IFERROR(VLOOKUP(I3-1,I$3:J$7,2,FALSE),NOW())+MAX(0,F3/E3/1000*3600)/86400</f>
        <v>46230.2356626217</v>
      </c>
      <c r="K3" s="5">
        <v>403</v>
      </c>
      <c r="L3" s="5">
        <f t="shared" ref="L3:L7" si="3">ROUND(G3*K3,0)</f>
        <v>2509</v>
      </c>
    </row>
    <row r="4" spans="1:12">
      <c r="A4" s="5" t="s">
        <v>13</v>
      </c>
      <c r="B4" s="5">
        <v>85</v>
      </c>
      <c r="C4" s="5">
        <v>51</v>
      </c>
      <c r="D4" s="7">
        <v>0.2441</v>
      </c>
      <c r="E4" s="8">
        <v>240</v>
      </c>
      <c r="F4" s="6">
        <f>(VLOOKUP(IF(B4&gt;200,200,B4),专业经验表!$A$2:$C$201,2,FALSE)-VLOOKUP(C4,专业经验表!$A$2:$C$201,2,FALSE)-VLOOKUP(C4,专业经验表!$A$2:$C$201,3,FALSE)*D4)</f>
        <v>2565270.0895</v>
      </c>
      <c r="G4" s="9">
        <f t="shared" si="0"/>
        <v>10.6886253729167</v>
      </c>
      <c r="H4" s="10">
        <f t="shared" si="1"/>
        <v>0.445359390538194</v>
      </c>
      <c r="I4" s="8">
        <v>3</v>
      </c>
      <c r="J4" s="17">
        <f ca="1" t="shared" si="2"/>
        <v>46231.1801115115</v>
      </c>
      <c r="K4" s="5">
        <v>403</v>
      </c>
      <c r="L4" s="5">
        <f t="shared" si="3"/>
        <v>4308</v>
      </c>
    </row>
    <row r="5" spans="1:12">
      <c r="A5" s="5" t="s">
        <v>14</v>
      </c>
      <c r="B5" s="5">
        <v>85</v>
      </c>
      <c r="C5" s="5">
        <v>1</v>
      </c>
      <c r="D5" s="11">
        <v>0</v>
      </c>
      <c r="E5" s="8">
        <v>223</v>
      </c>
      <c r="F5" s="6">
        <f>(VLOOKUP(IF(B5&gt;200,200,B5),专业经验表!$A$2:$C$201,2,FALSE)-VLOOKUP(C5,专业经验表!$A$2:$C$201,2,FALSE)-VLOOKUP(C5,专业经验表!$A$2:$C$201,3,FALSE)*D5)</f>
        <v>2671127</v>
      </c>
      <c r="G5" s="9">
        <f t="shared" si="0"/>
        <v>11.9781479820628</v>
      </c>
      <c r="H5" s="10">
        <f t="shared" si="1"/>
        <v>0.499089499252616</v>
      </c>
      <c r="I5" s="8">
        <v>2</v>
      </c>
      <c r="J5" s="17">
        <f ca="1" t="shared" si="2"/>
        <v>46230.734752121</v>
      </c>
      <c r="K5" s="5">
        <v>403</v>
      </c>
      <c r="L5" s="5">
        <f t="shared" si="3"/>
        <v>4827</v>
      </c>
    </row>
    <row r="6" spans="1:12">
      <c r="A6" s="5" t="s">
        <v>15</v>
      </c>
      <c r="B6" s="5">
        <v>127</v>
      </c>
      <c r="C6" s="5">
        <v>121</v>
      </c>
      <c r="D6" s="7">
        <v>0.0456</v>
      </c>
      <c r="E6" s="8">
        <v>190</v>
      </c>
      <c r="F6" s="6">
        <f>(VLOOKUP(IF(B6&gt;200,200,B6),专业经验表!$A$2:$C$201,2,FALSE)-VLOOKUP(C6,专业经验表!$A$2:$C$201,2,FALSE)-VLOOKUP(C6,专业经验表!$A$2:$C$201,3,FALSE)*D6)</f>
        <v>55908423.9784</v>
      </c>
      <c r="G6" s="9">
        <f t="shared" si="0"/>
        <v>294.254863044211</v>
      </c>
      <c r="H6" s="10">
        <f t="shared" si="1"/>
        <v>12.2606192935088</v>
      </c>
      <c r="I6" s="8">
        <v>4</v>
      </c>
      <c r="J6" s="17">
        <f ca="1" t="shared" si="2"/>
        <v>46243.440730805</v>
      </c>
      <c r="K6" s="5">
        <v>403</v>
      </c>
      <c r="L6" s="5">
        <f t="shared" si="3"/>
        <v>118585</v>
      </c>
    </row>
    <row r="7" spans="1:12">
      <c r="A7" s="5" t="s">
        <v>16</v>
      </c>
      <c r="B7" s="5">
        <v>85</v>
      </c>
      <c r="C7" s="5">
        <v>75</v>
      </c>
      <c r="D7" s="7">
        <v>0.8399</v>
      </c>
      <c r="E7" s="8">
        <v>238</v>
      </c>
      <c r="F7" s="6">
        <f>(VLOOKUP(IF(B7&gt;200,200,B7),专业经验表!$A$2:$C$201,2,FALSE)-VLOOKUP(C7,专业经验表!$A$2:$C$201,2,FALSE)-VLOOKUP(C7,专业经验表!$A$2:$C$201,3,FALSE)*D7)</f>
        <v>1518189.5482</v>
      </c>
      <c r="G7" s="9">
        <f t="shared" si="0"/>
        <v>6.37894768151261</v>
      </c>
      <c r="H7" s="10">
        <f t="shared" si="1"/>
        <v>0.265789486729692</v>
      </c>
      <c r="I7" s="8">
        <v>1</v>
      </c>
      <c r="J7" s="17">
        <f ca="1" t="shared" si="2"/>
        <v>46230.2420163386</v>
      </c>
      <c r="K7" s="5">
        <v>403</v>
      </c>
      <c r="L7" s="5">
        <f t="shared" si="3"/>
        <v>2571</v>
      </c>
    </row>
    <row r="8" spans="4:10">
      <c r="D8" s="12"/>
      <c r="E8" s="13"/>
      <c r="G8" s="14"/>
      <c r="H8" s="15"/>
      <c r="I8" s="13"/>
      <c r="J8" s="18"/>
    </row>
    <row r="9" spans="5:5">
      <c r="E9" s="1"/>
    </row>
    <row r="10" spans="1:12">
      <c r="A10" s="4" t="s">
        <v>17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>
      <c r="A11" s="5" t="s">
        <v>18</v>
      </c>
      <c r="B11" s="5" t="s">
        <v>19</v>
      </c>
      <c r="C11" s="5" t="s">
        <v>20</v>
      </c>
      <c r="D11" s="5" t="s">
        <v>3</v>
      </c>
      <c r="E11" s="5" t="s">
        <v>2</v>
      </c>
      <c r="F11" s="5" t="s">
        <v>21</v>
      </c>
      <c r="G11" s="5" t="s">
        <v>6</v>
      </c>
      <c r="H11" s="5" t="s">
        <v>22</v>
      </c>
      <c r="I11" s="5" t="s">
        <v>23</v>
      </c>
      <c r="J11" s="5" t="s">
        <v>24</v>
      </c>
      <c r="K11" s="8" t="s">
        <v>25</v>
      </c>
      <c r="L11" s="8" t="s">
        <v>26</v>
      </c>
    </row>
    <row r="12" spans="1:12">
      <c r="A12" s="5" t="s">
        <v>27</v>
      </c>
      <c r="B12" s="5" t="s">
        <v>27</v>
      </c>
      <c r="C12" s="5">
        <v>500</v>
      </c>
      <c r="D12" s="5">
        <v>10</v>
      </c>
      <c r="E12" s="5">
        <v>10</v>
      </c>
      <c r="F12" s="5">
        <f>VLOOKUP(IF(D12&gt;200,200,D12),专业经验表!$A$2:$B$201,2,FALSE)</f>
        <v>791</v>
      </c>
      <c r="G12" s="5">
        <f>VLOOKUP(IF(E12&gt;200,200,E12),专业经验表!$A$2:$B$201,2,FALSE)-F12</f>
        <v>0</v>
      </c>
      <c r="H12" s="5">
        <f t="shared" ref="H12:H24" si="4">CEILING(MAX(0,G12)/C12+IF(D12=0,1,0),0.1)</f>
        <v>0</v>
      </c>
      <c r="I12" s="5">
        <v>2.4</v>
      </c>
      <c r="J12" s="5">
        <v>2.35</v>
      </c>
      <c r="K12" s="6">
        <f t="shared" ref="K12:K24" si="5">I12*CEILING($H12,1)</f>
        <v>0</v>
      </c>
      <c r="L12" s="6">
        <f t="shared" ref="L12:L24" si="6">J12*CEILING($H12,1)</f>
        <v>0</v>
      </c>
    </row>
    <row r="13" spans="1:12">
      <c r="A13" s="16" t="s">
        <v>28</v>
      </c>
      <c r="B13" s="5" t="s">
        <v>29</v>
      </c>
      <c r="C13" s="5">
        <v>500</v>
      </c>
      <c r="D13" s="5">
        <v>1</v>
      </c>
      <c r="E13" s="5">
        <v>10</v>
      </c>
      <c r="F13" s="5">
        <f>VLOOKUP(IF(D13&gt;200,200,D13),专业经验表!$A$2:$B$201,2,FALSE)</f>
        <v>0</v>
      </c>
      <c r="G13" s="5">
        <f>VLOOKUP(IF(E13&gt;200,200,E13),专业经验表!$A$2:$B$201,2,FALSE)-F13</f>
        <v>791</v>
      </c>
      <c r="H13" s="5">
        <f t="shared" si="4"/>
        <v>1.6</v>
      </c>
      <c r="I13" s="5">
        <v>2650</v>
      </c>
      <c r="J13" s="5">
        <v>2600</v>
      </c>
      <c r="K13" s="6">
        <f t="shared" si="5"/>
        <v>5300</v>
      </c>
      <c r="L13" s="6">
        <f t="shared" si="6"/>
        <v>5200</v>
      </c>
    </row>
    <row r="14" spans="1:12">
      <c r="A14" s="16"/>
      <c r="B14" s="5" t="s">
        <v>30</v>
      </c>
      <c r="C14" s="5">
        <v>500</v>
      </c>
      <c r="D14" s="5">
        <v>10</v>
      </c>
      <c r="E14" s="5">
        <v>30</v>
      </c>
      <c r="F14" s="5">
        <f>VLOOKUP(IF(D14&gt;200,200,D14),专业经验表!$A$2:$B$201,2,FALSE)</f>
        <v>791</v>
      </c>
      <c r="G14" s="5">
        <f>VLOOKUP(IF(E14&gt;200,200,E14),专业经验表!$A$2:$B$201,2,FALSE)-F14</f>
        <v>11023</v>
      </c>
      <c r="H14" s="5">
        <f t="shared" si="4"/>
        <v>22.1</v>
      </c>
      <c r="I14" s="5">
        <v>500</v>
      </c>
      <c r="J14" s="5">
        <v>480</v>
      </c>
      <c r="K14" s="6">
        <f t="shared" si="5"/>
        <v>11500</v>
      </c>
      <c r="L14" s="6">
        <f t="shared" si="6"/>
        <v>11040</v>
      </c>
    </row>
    <row r="15" spans="1:12">
      <c r="A15" s="16"/>
      <c r="B15" s="5" t="s">
        <v>31</v>
      </c>
      <c r="C15" s="5">
        <v>500</v>
      </c>
      <c r="D15" s="5">
        <v>1</v>
      </c>
      <c r="E15" s="5">
        <v>30</v>
      </c>
      <c r="F15" s="5">
        <f>VLOOKUP(IF(D15&gt;200,200,D15),专业经验表!$A$2:$B$201,2,FALSE)</f>
        <v>0</v>
      </c>
      <c r="G15" s="5">
        <f>VLOOKUP(IF(E15&gt;200,200,E15),专业经验表!$A$2:$B$201,2,FALSE)-F15</f>
        <v>11814</v>
      </c>
      <c r="H15" s="5">
        <f t="shared" si="4"/>
        <v>23.7</v>
      </c>
      <c r="I15" s="5">
        <v>210</v>
      </c>
      <c r="J15" s="5">
        <v>205</v>
      </c>
      <c r="K15" s="6">
        <f t="shared" si="5"/>
        <v>5040</v>
      </c>
      <c r="L15" s="6">
        <f t="shared" si="6"/>
        <v>4920</v>
      </c>
    </row>
    <row r="16" spans="1:12">
      <c r="A16" s="16"/>
      <c r="B16" s="5" t="s">
        <v>32</v>
      </c>
      <c r="C16" s="5">
        <v>500</v>
      </c>
      <c r="D16" s="5">
        <v>1</v>
      </c>
      <c r="E16" s="5">
        <v>30</v>
      </c>
      <c r="F16" s="5">
        <f>VLOOKUP(IF(D16&gt;200,200,D16),专业经验表!$A$2:$B$201,2,FALSE)</f>
        <v>0</v>
      </c>
      <c r="G16" s="5">
        <f>VLOOKUP(IF(E16&gt;200,200,E16),专业经验表!$A$2:$B$201,2,FALSE)-F16</f>
        <v>11814</v>
      </c>
      <c r="H16" s="5">
        <f t="shared" si="4"/>
        <v>23.7</v>
      </c>
      <c r="I16" s="5">
        <v>48</v>
      </c>
      <c r="J16" s="5">
        <v>47</v>
      </c>
      <c r="K16" s="6">
        <f t="shared" si="5"/>
        <v>1152</v>
      </c>
      <c r="L16" s="6">
        <f t="shared" si="6"/>
        <v>1128</v>
      </c>
    </row>
    <row r="17" spans="1:12">
      <c r="A17" s="16"/>
      <c r="B17" s="5" t="s">
        <v>33</v>
      </c>
      <c r="C17" s="5">
        <v>500</v>
      </c>
      <c r="D17" s="5">
        <v>1</v>
      </c>
      <c r="E17" s="5">
        <v>30</v>
      </c>
      <c r="F17" s="5">
        <f>VLOOKUP(IF(D17&gt;200,200,D17),专业经验表!$A$2:$B$201,2,FALSE)</f>
        <v>0</v>
      </c>
      <c r="G17" s="5">
        <f>VLOOKUP(IF(E17&gt;200,200,E17),专业经验表!$A$2:$B$201,2,FALSE)-F17</f>
        <v>11814</v>
      </c>
      <c r="H17" s="5">
        <f t="shared" si="4"/>
        <v>23.7</v>
      </c>
      <c r="I17" s="5">
        <v>39</v>
      </c>
      <c r="J17" s="5">
        <v>38</v>
      </c>
      <c r="K17" s="6">
        <f t="shared" si="5"/>
        <v>936</v>
      </c>
      <c r="L17" s="6">
        <f t="shared" si="6"/>
        <v>912</v>
      </c>
    </row>
    <row r="18" spans="1:12">
      <c r="A18" s="4" t="s">
        <v>34</v>
      </c>
      <c r="B18" s="5" t="s">
        <v>35</v>
      </c>
      <c r="C18" s="5">
        <v>500</v>
      </c>
      <c r="D18" s="5">
        <v>1</v>
      </c>
      <c r="E18" s="5">
        <v>40</v>
      </c>
      <c r="F18" s="5">
        <f>VLOOKUP(IF(D18&gt;200,200,D18),专业经验表!$A$2:$B$201,2,FALSE)</f>
        <v>0</v>
      </c>
      <c r="G18" s="5">
        <f>VLOOKUP(IF(E18&gt;200,200,E18),专业经验表!$A$2:$B$201,2,FALSE)-F18</f>
        <v>33697</v>
      </c>
      <c r="H18" s="5">
        <f t="shared" si="4"/>
        <v>67.4</v>
      </c>
      <c r="I18" s="5">
        <v>1750</v>
      </c>
      <c r="J18" s="5">
        <v>1700</v>
      </c>
      <c r="K18" s="6">
        <f t="shared" si="5"/>
        <v>119000</v>
      </c>
      <c r="L18" s="6">
        <f t="shared" si="6"/>
        <v>115600</v>
      </c>
    </row>
    <row r="19" spans="1:12">
      <c r="A19" s="4"/>
      <c r="B19" s="5" t="s">
        <v>36</v>
      </c>
      <c r="C19" s="5">
        <v>500</v>
      </c>
      <c r="D19" s="5">
        <v>8</v>
      </c>
      <c r="E19" s="5">
        <v>30</v>
      </c>
      <c r="F19" s="5">
        <f>VLOOKUP(IF(D19&gt;200,200,D19),专业经验表!$A$2:$B$201,2,FALSE)</f>
        <v>503</v>
      </c>
      <c r="G19" s="5">
        <f>VLOOKUP(IF(E19&gt;200,200,E19),专业经验表!$A$2:$B$201,2,FALSE)-F19</f>
        <v>11311</v>
      </c>
      <c r="H19" s="5">
        <f t="shared" si="4"/>
        <v>22.7</v>
      </c>
      <c r="I19" s="5">
        <v>860</v>
      </c>
      <c r="J19" s="5">
        <v>840</v>
      </c>
      <c r="K19" s="6">
        <f t="shared" si="5"/>
        <v>19780</v>
      </c>
      <c r="L19" s="6">
        <f t="shared" si="6"/>
        <v>19320</v>
      </c>
    </row>
    <row r="20" spans="1:12">
      <c r="A20" s="4"/>
      <c r="B20" s="5" t="s">
        <v>37</v>
      </c>
      <c r="C20" s="5">
        <v>500</v>
      </c>
      <c r="D20" s="5">
        <v>1</v>
      </c>
      <c r="E20" s="5">
        <v>50</v>
      </c>
      <c r="F20" s="5">
        <f>VLOOKUP(IF(D20&gt;200,200,D20),专业经验表!$A$2:$B$201,2,FALSE)</f>
        <v>0</v>
      </c>
      <c r="G20" s="5">
        <f>VLOOKUP(IF(E20&gt;200,200,E20),专业经验表!$A$2:$B$201,2,FALSE)-F20</f>
        <v>93311</v>
      </c>
      <c r="H20" s="5">
        <f t="shared" si="4"/>
        <v>186.7</v>
      </c>
      <c r="I20" s="5">
        <v>225</v>
      </c>
      <c r="J20" s="5">
        <v>220</v>
      </c>
      <c r="K20" s="6">
        <f t="shared" si="5"/>
        <v>42075</v>
      </c>
      <c r="L20" s="6">
        <f t="shared" si="6"/>
        <v>41140</v>
      </c>
    </row>
    <row r="21" spans="1:12">
      <c r="A21" s="4"/>
      <c r="B21" s="5" t="s">
        <v>38</v>
      </c>
      <c r="C21" s="5">
        <v>500</v>
      </c>
      <c r="D21" s="5">
        <v>36</v>
      </c>
      <c r="E21" s="5">
        <v>50</v>
      </c>
      <c r="F21" s="5">
        <f>VLOOKUP(IF(D21&gt;200,200,D21),专业经验表!$A$2:$B$201,2,FALSE)</f>
        <v>22271</v>
      </c>
      <c r="G21" s="5">
        <f>VLOOKUP(IF(E21&gt;200,200,E21),专业经验表!$A$2:$B$201,2,FALSE)-F21</f>
        <v>71040</v>
      </c>
      <c r="H21" s="5">
        <f t="shared" si="4"/>
        <v>142.1</v>
      </c>
      <c r="I21" s="5">
        <v>130</v>
      </c>
      <c r="J21" s="5">
        <v>120</v>
      </c>
      <c r="K21" s="6">
        <f t="shared" si="5"/>
        <v>18590</v>
      </c>
      <c r="L21" s="6">
        <f t="shared" si="6"/>
        <v>17160</v>
      </c>
    </row>
    <row r="22" spans="1:12">
      <c r="A22" s="4"/>
      <c r="B22" s="5" t="s">
        <v>39</v>
      </c>
      <c r="C22" s="5">
        <v>500</v>
      </c>
      <c r="D22" s="5">
        <v>7</v>
      </c>
      <c r="E22" s="5">
        <v>40</v>
      </c>
      <c r="F22" s="5">
        <f>VLOOKUP(IF(D22&gt;200,200,D22),专业经验表!$A$2:$B$201,2,FALSE)</f>
        <v>386</v>
      </c>
      <c r="G22" s="5">
        <f>VLOOKUP(IF(E22&gt;200,200,E22),专业经验表!$A$2:$B$201,2,FALSE)-F22</f>
        <v>33311</v>
      </c>
      <c r="H22" s="5">
        <f t="shared" si="4"/>
        <v>66.7</v>
      </c>
      <c r="I22" s="5">
        <v>640</v>
      </c>
      <c r="J22" s="5">
        <v>620</v>
      </c>
      <c r="K22" s="6">
        <f t="shared" si="5"/>
        <v>42880</v>
      </c>
      <c r="L22" s="6">
        <f t="shared" si="6"/>
        <v>41540</v>
      </c>
    </row>
    <row r="23" spans="1:12">
      <c r="A23" s="4"/>
      <c r="B23" s="5" t="s">
        <v>40</v>
      </c>
      <c r="C23" s="5">
        <v>500</v>
      </c>
      <c r="D23" s="5">
        <v>1</v>
      </c>
      <c r="E23" s="5">
        <v>50</v>
      </c>
      <c r="F23" s="5">
        <f>VLOOKUP(IF(D23&gt;200,200,D23),专业经验表!$A$2:$B$201,2,FALSE)</f>
        <v>0</v>
      </c>
      <c r="G23" s="5">
        <f>VLOOKUP(IF(E23&gt;200,200,E23),专业经验表!$A$2:$B$201,2,FALSE)-F23</f>
        <v>93311</v>
      </c>
      <c r="H23" s="5">
        <f t="shared" si="4"/>
        <v>186.7</v>
      </c>
      <c r="I23" s="5">
        <v>240</v>
      </c>
      <c r="J23" s="5">
        <v>235</v>
      </c>
      <c r="K23" s="6">
        <f t="shared" si="5"/>
        <v>44880</v>
      </c>
      <c r="L23" s="6">
        <f t="shared" si="6"/>
        <v>43945</v>
      </c>
    </row>
    <row r="24" spans="1:12">
      <c r="A24" s="4"/>
      <c r="B24" s="5" t="s">
        <v>41</v>
      </c>
      <c r="C24" s="5">
        <v>50</v>
      </c>
      <c r="D24" s="5">
        <v>1</v>
      </c>
      <c r="E24" s="5">
        <v>50</v>
      </c>
      <c r="F24" s="5">
        <f>VLOOKUP(IF(D24&gt;200,200,D24),专业经验表!$A$2:$B$201,2,FALSE)</f>
        <v>0</v>
      </c>
      <c r="G24" s="5">
        <f>VLOOKUP(IF(E24&gt;200,200,E24),专业经验表!$A$2:$B$201,2,FALSE)-F24</f>
        <v>93311</v>
      </c>
      <c r="H24" s="5">
        <f t="shared" si="4"/>
        <v>1866.3</v>
      </c>
      <c r="I24" s="5">
        <v>33</v>
      </c>
      <c r="J24" s="5">
        <v>32</v>
      </c>
      <c r="K24" s="6">
        <f t="shared" si="5"/>
        <v>61611</v>
      </c>
      <c r="L24" s="6">
        <f t="shared" si="6"/>
        <v>59744</v>
      </c>
    </row>
  </sheetData>
  <mergeCells count="4">
    <mergeCell ref="A1:L1"/>
    <mergeCell ref="A10:L10"/>
    <mergeCell ref="A13:A17"/>
    <mergeCell ref="A18:A24"/>
  </mergeCells>
  <dataValidations count="1">
    <dataValidation type="list" allowBlank="1" showInputMessage="1" showErrorMessage="1" sqref="H10">
      <formula1>"是,否"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1"/>
  <sheetViews>
    <sheetView workbookViewId="0">
      <pane ySplit="1" topLeftCell="A26" activePane="bottomLeft" state="frozen"/>
      <selection/>
      <selection pane="bottomLeft" activeCell="B37" sqref="B37"/>
    </sheetView>
  </sheetViews>
  <sheetFormatPr defaultColWidth="9" defaultRowHeight="13.5" outlineLevelCol="2"/>
  <cols>
    <col min="2" max="2" width="17.1833333333333" customWidth="1"/>
    <col min="3" max="3" width="14.8666666666667" style="1" customWidth="1"/>
    <col min="4" max="4" width="15.4083333333333" customWidth="1"/>
    <col min="5" max="5" width="12.8166666666667" customWidth="1"/>
    <col min="9" max="9" width="12.8166666666667" customWidth="1"/>
  </cols>
  <sheetData>
    <row r="1" spans="1:3">
      <c r="A1" s="2" t="s">
        <v>42</v>
      </c>
      <c r="B1" s="2" t="s">
        <v>43</v>
      </c>
      <c r="C1" s="3" t="s">
        <v>6</v>
      </c>
    </row>
    <row r="2" spans="1:3">
      <c r="A2">
        <v>1</v>
      </c>
      <c r="B2">
        <v>0</v>
      </c>
      <c r="C2" s="1">
        <f t="shared" ref="C2:C65" si="0">IFERROR(B3-B2,0)</f>
        <v>33</v>
      </c>
    </row>
    <row r="3" spans="1:3">
      <c r="A3">
        <v>2</v>
      </c>
      <c r="B3">
        <v>33</v>
      </c>
      <c r="C3" s="1">
        <f t="shared" si="0"/>
        <v>43</v>
      </c>
    </row>
    <row r="4" spans="1:3">
      <c r="A4">
        <v>3</v>
      </c>
      <c r="B4">
        <v>76</v>
      </c>
      <c r="C4" s="1">
        <f t="shared" si="0"/>
        <v>56</v>
      </c>
    </row>
    <row r="5" spans="1:3">
      <c r="A5">
        <v>4</v>
      </c>
      <c r="B5">
        <v>132</v>
      </c>
      <c r="C5" s="1">
        <f t="shared" si="0"/>
        <v>70</v>
      </c>
    </row>
    <row r="6" spans="1:3">
      <c r="A6">
        <v>5</v>
      </c>
      <c r="B6">
        <v>202</v>
      </c>
      <c r="C6" s="1">
        <f t="shared" si="0"/>
        <v>84</v>
      </c>
    </row>
    <row r="7" spans="1:3">
      <c r="A7">
        <v>6</v>
      </c>
      <c r="B7">
        <v>286</v>
      </c>
      <c r="C7" s="1">
        <f t="shared" si="0"/>
        <v>100</v>
      </c>
    </row>
    <row r="8" spans="1:3">
      <c r="A8">
        <v>7</v>
      </c>
      <c r="B8">
        <v>386</v>
      </c>
      <c r="C8" s="1">
        <f t="shared" si="0"/>
        <v>117</v>
      </c>
    </row>
    <row r="9" spans="1:3">
      <c r="A9">
        <v>8</v>
      </c>
      <c r="B9">
        <v>503</v>
      </c>
      <c r="C9" s="1">
        <f t="shared" si="0"/>
        <v>134</v>
      </c>
    </row>
    <row r="10" spans="1:3">
      <c r="A10">
        <v>9</v>
      </c>
      <c r="B10">
        <v>637</v>
      </c>
      <c r="C10" s="1">
        <f t="shared" si="0"/>
        <v>154</v>
      </c>
    </row>
    <row r="11" spans="1:3">
      <c r="A11">
        <v>10</v>
      </c>
      <c r="B11">
        <v>791</v>
      </c>
      <c r="C11" s="1">
        <f t="shared" si="0"/>
        <v>173</v>
      </c>
    </row>
    <row r="12" spans="1:3">
      <c r="A12">
        <v>11</v>
      </c>
      <c r="B12">
        <v>964</v>
      </c>
      <c r="C12" s="1">
        <f t="shared" si="0"/>
        <v>195</v>
      </c>
    </row>
    <row r="13" spans="1:3">
      <c r="A13">
        <v>12</v>
      </c>
      <c r="B13" s="1">
        <v>1159</v>
      </c>
      <c r="C13" s="1">
        <f t="shared" si="0"/>
        <v>218</v>
      </c>
    </row>
    <row r="14" spans="1:3">
      <c r="A14">
        <v>13</v>
      </c>
      <c r="B14" s="1">
        <v>1377</v>
      </c>
      <c r="C14" s="1">
        <f t="shared" si="0"/>
        <v>243</v>
      </c>
    </row>
    <row r="15" spans="1:3">
      <c r="A15">
        <v>14</v>
      </c>
      <c r="B15" s="1">
        <v>1620</v>
      </c>
      <c r="C15" s="1">
        <f t="shared" si="0"/>
        <v>271</v>
      </c>
    </row>
    <row r="16" spans="1:3">
      <c r="A16">
        <v>15</v>
      </c>
      <c r="B16" s="1">
        <v>1891</v>
      </c>
      <c r="C16" s="1">
        <f t="shared" si="0"/>
        <v>301</v>
      </c>
    </row>
    <row r="17" spans="1:3">
      <c r="A17">
        <v>16</v>
      </c>
      <c r="B17" s="1">
        <v>2192</v>
      </c>
      <c r="C17" s="1">
        <f t="shared" si="0"/>
        <v>333</v>
      </c>
    </row>
    <row r="18" spans="1:3">
      <c r="A18">
        <v>17</v>
      </c>
      <c r="B18" s="1">
        <v>2525</v>
      </c>
      <c r="C18" s="1">
        <f t="shared" si="0"/>
        <v>368</v>
      </c>
    </row>
    <row r="19" spans="1:3">
      <c r="A19">
        <v>18</v>
      </c>
      <c r="B19" s="1">
        <v>2893</v>
      </c>
      <c r="C19" s="1">
        <f t="shared" si="0"/>
        <v>407</v>
      </c>
    </row>
    <row r="20" spans="1:3">
      <c r="A20">
        <v>19</v>
      </c>
      <c r="B20" s="1">
        <v>3300</v>
      </c>
      <c r="C20" s="1">
        <f t="shared" si="0"/>
        <v>450</v>
      </c>
    </row>
    <row r="21" spans="1:3">
      <c r="A21">
        <v>20</v>
      </c>
      <c r="B21" s="1">
        <v>3750</v>
      </c>
      <c r="C21" s="1">
        <f t="shared" si="0"/>
        <v>497</v>
      </c>
    </row>
    <row r="22" spans="1:3">
      <c r="A22">
        <v>21</v>
      </c>
      <c r="B22" s="1">
        <v>4247</v>
      </c>
      <c r="C22" s="1">
        <f t="shared" si="0"/>
        <v>548</v>
      </c>
    </row>
    <row r="23" spans="1:3">
      <c r="A23">
        <v>22</v>
      </c>
      <c r="B23" s="1">
        <v>4795</v>
      </c>
      <c r="C23" s="1">
        <f t="shared" si="0"/>
        <v>605</v>
      </c>
    </row>
    <row r="24" spans="1:3">
      <c r="A24">
        <v>23</v>
      </c>
      <c r="B24" s="1">
        <v>5400</v>
      </c>
      <c r="C24" s="1">
        <f t="shared" si="0"/>
        <v>668</v>
      </c>
    </row>
    <row r="25" spans="1:3">
      <c r="A25">
        <v>24</v>
      </c>
      <c r="B25" s="1">
        <v>6068</v>
      </c>
      <c r="C25" s="1">
        <f t="shared" si="0"/>
        <v>737</v>
      </c>
    </row>
    <row r="26" spans="1:3">
      <c r="A26">
        <v>25</v>
      </c>
      <c r="B26" s="1">
        <v>6805</v>
      </c>
      <c r="C26" s="1">
        <f t="shared" si="0"/>
        <v>813</v>
      </c>
    </row>
    <row r="27" spans="1:3">
      <c r="A27">
        <v>26</v>
      </c>
      <c r="B27" s="1">
        <v>7618</v>
      </c>
      <c r="C27" s="1">
        <f t="shared" si="0"/>
        <v>899</v>
      </c>
    </row>
    <row r="28" spans="1:3">
      <c r="A28">
        <v>27</v>
      </c>
      <c r="B28" s="1">
        <v>8517</v>
      </c>
      <c r="C28" s="1">
        <f t="shared" si="0"/>
        <v>991</v>
      </c>
    </row>
    <row r="29" spans="1:3">
      <c r="A29">
        <v>28</v>
      </c>
      <c r="B29" s="1">
        <v>9508</v>
      </c>
      <c r="C29" s="1">
        <f t="shared" si="0"/>
        <v>1096</v>
      </c>
    </row>
    <row r="30" spans="1:3">
      <c r="A30">
        <v>29</v>
      </c>
      <c r="B30" s="1">
        <v>10604</v>
      </c>
      <c r="C30" s="1">
        <f t="shared" si="0"/>
        <v>1210</v>
      </c>
    </row>
    <row r="31" spans="1:3">
      <c r="A31">
        <v>30</v>
      </c>
      <c r="B31" s="1">
        <v>11814</v>
      </c>
      <c r="C31" s="1">
        <f t="shared" si="0"/>
        <v>1337</v>
      </c>
    </row>
    <row r="32" spans="1:3">
      <c r="A32">
        <v>31</v>
      </c>
      <c r="B32" s="1">
        <v>13151</v>
      </c>
      <c r="C32" s="1">
        <f t="shared" si="0"/>
        <v>1478</v>
      </c>
    </row>
    <row r="33" spans="1:3">
      <c r="A33">
        <v>32</v>
      </c>
      <c r="B33" s="1">
        <v>14629</v>
      </c>
      <c r="C33" s="1">
        <f t="shared" si="0"/>
        <v>1633</v>
      </c>
    </row>
    <row r="34" spans="1:3">
      <c r="A34">
        <v>33</v>
      </c>
      <c r="B34" s="1">
        <v>16262</v>
      </c>
      <c r="C34" s="1">
        <f t="shared" si="0"/>
        <v>1806</v>
      </c>
    </row>
    <row r="35" spans="1:3">
      <c r="A35">
        <v>34</v>
      </c>
      <c r="B35" s="1">
        <v>18068</v>
      </c>
      <c r="C35" s="1">
        <f t="shared" si="0"/>
        <v>1996</v>
      </c>
    </row>
    <row r="36" spans="1:3">
      <c r="A36">
        <v>35</v>
      </c>
      <c r="B36" s="1">
        <v>20064</v>
      </c>
      <c r="C36" s="1">
        <f t="shared" si="0"/>
        <v>2207</v>
      </c>
    </row>
    <row r="37" spans="1:3">
      <c r="A37">
        <v>36</v>
      </c>
      <c r="B37" s="1">
        <v>22271</v>
      </c>
      <c r="C37" s="1">
        <f t="shared" si="0"/>
        <v>2441</v>
      </c>
    </row>
    <row r="38" spans="1:3">
      <c r="A38">
        <v>37</v>
      </c>
      <c r="B38" s="1">
        <v>24712</v>
      </c>
      <c r="C38" s="1">
        <f t="shared" si="0"/>
        <v>2699</v>
      </c>
    </row>
    <row r="39" spans="1:3">
      <c r="A39">
        <v>38</v>
      </c>
      <c r="B39" s="1">
        <v>27411</v>
      </c>
      <c r="C39" s="1">
        <f t="shared" si="0"/>
        <v>2985</v>
      </c>
    </row>
    <row r="40" spans="1:3">
      <c r="A40">
        <v>39</v>
      </c>
      <c r="B40" s="1">
        <v>30396</v>
      </c>
      <c r="C40" s="1">
        <f t="shared" si="0"/>
        <v>3301</v>
      </c>
    </row>
    <row r="41" spans="1:3">
      <c r="A41">
        <v>40</v>
      </c>
      <c r="B41" s="1">
        <v>33697</v>
      </c>
      <c r="C41" s="1">
        <f t="shared" si="0"/>
        <v>3649</v>
      </c>
    </row>
    <row r="42" spans="1:3">
      <c r="A42">
        <v>41</v>
      </c>
      <c r="B42" s="1">
        <v>37346</v>
      </c>
      <c r="C42" s="1">
        <f t="shared" si="0"/>
        <v>4035</v>
      </c>
    </row>
    <row r="43" spans="1:3">
      <c r="A43">
        <v>42</v>
      </c>
      <c r="B43" s="1">
        <v>41381</v>
      </c>
      <c r="C43" s="1">
        <f t="shared" si="0"/>
        <v>4461</v>
      </c>
    </row>
    <row r="44" spans="1:3">
      <c r="A44">
        <v>43</v>
      </c>
      <c r="B44" s="1">
        <v>45842</v>
      </c>
      <c r="C44" s="1">
        <f t="shared" si="0"/>
        <v>4931</v>
      </c>
    </row>
    <row r="45" spans="1:3">
      <c r="A45">
        <v>44</v>
      </c>
      <c r="B45" s="1">
        <v>50773</v>
      </c>
      <c r="C45" s="1">
        <f t="shared" si="0"/>
        <v>5449</v>
      </c>
    </row>
    <row r="46" spans="1:3">
      <c r="A46">
        <v>45</v>
      </c>
      <c r="B46" s="1">
        <v>56222</v>
      </c>
      <c r="C46" s="1">
        <f t="shared" si="0"/>
        <v>6021</v>
      </c>
    </row>
    <row r="47" spans="1:3">
      <c r="A47">
        <v>46</v>
      </c>
      <c r="B47" s="1">
        <v>62243</v>
      </c>
      <c r="C47" s="1">
        <f t="shared" si="0"/>
        <v>6652</v>
      </c>
    </row>
    <row r="48" spans="1:3">
      <c r="A48">
        <v>47</v>
      </c>
      <c r="B48" s="1">
        <v>68895</v>
      </c>
      <c r="C48" s="1">
        <f t="shared" si="0"/>
        <v>7347</v>
      </c>
    </row>
    <row r="49" spans="1:3">
      <c r="A49">
        <v>48</v>
      </c>
      <c r="B49" s="1">
        <v>76242</v>
      </c>
      <c r="C49" s="1">
        <f t="shared" si="0"/>
        <v>8113</v>
      </c>
    </row>
    <row r="50" spans="1:3">
      <c r="A50">
        <v>49</v>
      </c>
      <c r="B50" s="1">
        <v>84355</v>
      </c>
      <c r="C50" s="1">
        <f t="shared" si="0"/>
        <v>8956</v>
      </c>
    </row>
    <row r="51" spans="1:3">
      <c r="A51">
        <v>50</v>
      </c>
      <c r="B51" s="1">
        <v>93311</v>
      </c>
      <c r="C51" s="1">
        <f t="shared" si="0"/>
        <v>9884</v>
      </c>
    </row>
    <row r="52" spans="1:3">
      <c r="A52">
        <v>51</v>
      </c>
      <c r="B52" s="1">
        <v>103195</v>
      </c>
      <c r="C52" s="1">
        <f t="shared" si="0"/>
        <v>10905</v>
      </c>
    </row>
    <row r="53" spans="1:3">
      <c r="A53">
        <v>52</v>
      </c>
      <c r="B53" s="1">
        <v>114100</v>
      </c>
      <c r="C53" s="1">
        <f t="shared" si="0"/>
        <v>12027</v>
      </c>
    </row>
    <row r="54" spans="1:3">
      <c r="A54">
        <v>53</v>
      </c>
      <c r="B54" s="1">
        <v>126127</v>
      </c>
      <c r="C54" s="1">
        <f t="shared" si="0"/>
        <v>13263</v>
      </c>
    </row>
    <row r="55" spans="1:3">
      <c r="A55">
        <v>54</v>
      </c>
      <c r="B55" s="1">
        <v>139390</v>
      </c>
      <c r="C55" s="1">
        <f t="shared" si="0"/>
        <v>14619</v>
      </c>
    </row>
    <row r="56" spans="1:3">
      <c r="A56">
        <v>55</v>
      </c>
      <c r="B56" s="1">
        <v>154009</v>
      </c>
      <c r="C56" s="1">
        <f t="shared" si="0"/>
        <v>16109</v>
      </c>
    </row>
    <row r="57" spans="1:3">
      <c r="A57">
        <v>56</v>
      </c>
      <c r="B57" s="1">
        <v>170118</v>
      </c>
      <c r="C57" s="1">
        <f t="shared" si="0"/>
        <v>17745</v>
      </c>
    </row>
    <row r="58" spans="1:3">
      <c r="A58">
        <v>57</v>
      </c>
      <c r="B58" s="1">
        <v>187863</v>
      </c>
      <c r="C58" s="1">
        <f t="shared" si="0"/>
        <v>19540</v>
      </c>
    </row>
    <row r="59" spans="1:3">
      <c r="A59">
        <v>58</v>
      </c>
      <c r="B59" s="1">
        <v>207403</v>
      </c>
      <c r="C59" s="1">
        <f t="shared" si="0"/>
        <v>21511</v>
      </c>
    </row>
    <row r="60" spans="1:3">
      <c r="A60">
        <v>59</v>
      </c>
      <c r="B60" s="1">
        <v>228914</v>
      </c>
      <c r="C60" s="1">
        <f t="shared" si="0"/>
        <v>23670</v>
      </c>
    </row>
    <row r="61" spans="1:3">
      <c r="A61">
        <v>60</v>
      </c>
      <c r="B61" s="1">
        <v>252584</v>
      </c>
      <c r="C61" s="1">
        <f t="shared" si="0"/>
        <v>26039</v>
      </c>
    </row>
    <row r="62" spans="1:3">
      <c r="A62">
        <v>61</v>
      </c>
      <c r="B62" s="1">
        <v>278623</v>
      </c>
      <c r="C62" s="1">
        <f t="shared" si="0"/>
        <v>28633</v>
      </c>
    </row>
    <row r="63" spans="1:3">
      <c r="A63">
        <v>62</v>
      </c>
      <c r="B63" s="1">
        <v>307256</v>
      </c>
      <c r="C63" s="1">
        <f t="shared" si="0"/>
        <v>31475</v>
      </c>
    </row>
    <row r="64" spans="1:3">
      <c r="A64">
        <v>63</v>
      </c>
      <c r="B64" s="1">
        <v>338731</v>
      </c>
      <c r="C64" s="1">
        <f t="shared" si="0"/>
        <v>34587</v>
      </c>
    </row>
    <row r="65" spans="1:3">
      <c r="A65">
        <v>64</v>
      </c>
      <c r="B65" s="1">
        <v>373318</v>
      </c>
      <c r="C65" s="1">
        <f t="shared" si="0"/>
        <v>37993</v>
      </c>
    </row>
    <row r="66" spans="1:3">
      <c r="A66">
        <v>65</v>
      </c>
      <c r="B66" s="1">
        <v>411311</v>
      </c>
      <c r="C66" s="1">
        <f t="shared" ref="C66:C129" si="1">IFERROR(B67-B66,0)</f>
        <v>41719</v>
      </c>
    </row>
    <row r="67" spans="1:3">
      <c r="A67">
        <v>66</v>
      </c>
      <c r="B67" s="1">
        <v>453030</v>
      </c>
      <c r="C67" s="1">
        <f t="shared" si="1"/>
        <v>45794</v>
      </c>
    </row>
    <row r="68" spans="1:3">
      <c r="A68">
        <v>67</v>
      </c>
      <c r="B68" s="1">
        <v>498824</v>
      </c>
      <c r="C68" s="1">
        <f t="shared" si="1"/>
        <v>50250</v>
      </c>
    </row>
    <row r="69" spans="1:3">
      <c r="A69">
        <v>68</v>
      </c>
      <c r="B69" s="1">
        <v>549074</v>
      </c>
      <c r="C69" s="1">
        <f t="shared" si="1"/>
        <v>55119</v>
      </c>
    </row>
    <row r="70" spans="1:3">
      <c r="A70">
        <v>69</v>
      </c>
      <c r="B70" s="1">
        <v>604193</v>
      </c>
      <c r="C70" s="1">
        <f t="shared" si="1"/>
        <v>60439</v>
      </c>
    </row>
    <row r="71" spans="1:3">
      <c r="A71">
        <v>70</v>
      </c>
      <c r="B71" s="1">
        <v>664632</v>
      </c>
      <c r="C71" s="1">
        <f t="shared" si="1"/>
        <v>66249</v>
      </c>
    </row>
    <row r="72" spans="1:3">
      <c r="A72">
        <v>71</v>
      </c>
      <c r="B72" s="1">
        <v>730881</v>
      </c>
      <c r="C72" s="1">
        <f t="shared" si="1"/>
        <v>72591</v>
      </c>
    </row>
    <row r="73" spans="1:3">
      <c r="A73">
        <v>72</v>
      </c>
      <c r="B73" s="1">
        <v>803472</v>
      </c>
      <c r="C73" s="1">
        <f t="shared" si="1"/>
        <v>79513</v>
      </c>
    </row>
    <row r="74" spans="1:3">
      <c r="A74">
        <v>73</v>
      </c>
      <c r="B74" s="1">
        <v>882985</v>
      </c>
      <c r="C74" s="1">
        <f t="shared" si="1"/>
        <v>87065</v>
      </c>
    </row>
    <row r="75" spans="1:3">
      <c r="A75">
        <v>74</v>
      </c>
      <c r="B75" s="1">
        <v>970050</v>
      </c>
      <c r="C75" s="1">
        <f t="shared" si="1"/>
        <v>95301</v>
      </c>
    </row>
    <row r="76" spans="1:3">
      <c r="A76">
        <v>75</v>
      </c>
      <c r="B76" s="1">
        <v>1065351</v>
      </c>
      <c r="C76" s="1">
        <f t="shared" si="1"/>
        <v>104282</v>
      </c>
    </row>
    <row r="77" spans="1:3">
      <c r="A77">
        <v>76</v>
      </c>
      <c r="B77" s="1">
        <v>1169633</v>
      </c>
      <c r="C77" s="1">
        <f t="shared" si="1"/>
        <v>114068</v>
      </c>
    </row>
    <row r="78" spans="1:3">
      <c r="A78">
        <v>77</v>
      </c>
      <c r="B78" s="1">
        <v>1283701</v>
      </c>
      <c r="C78" s="1">
        <f t="shared" si="1"/>
        <v>124732</v>
      </c>
    </row>
    <row r="79" spans="1:3">
      <c r="A79">
        <v>78</v>
      </c>
      <c r="B79" s="1">
        <v>1408433</v>
      </c>
      <c r="C79" s="1">
        <f t="shared" si="1"/>
        <v>136347</v>
      </c>
    </row>
    <row r="80" spans="1:3">
      <c r="A80">
        <v>79</v>
      </c>
      <c r="B80" s="1">
        <v>1544780</v>
      </c>
      <c r="C80" s="1">
        <f t="shared" si="1"/>
        <v>148994</v>
      </c>
    </row>
    <row r="81" spans="1:3">
      <c r="A81">
        <v>80</v>
      </c>
      <c r="B81" s="1">
        <v>1693774</v>
      </c>
      <c r="C81" s="1">
        <f t="shared" si="1"/>
        <v>162762</v>
      </c>
    </row>
    <row r="82" spans="1:3">
      <c r="A82">
        <v>81</v>
      </c>
      <c r="B82" s="1">
        <v>1856536</v>
      </c>
      <c r="C82" s="1">
        <f t="shared" si="1"/>
        <v>177743</v>
      </c>
    </row>
    <row r="83" spans="1:3">
      <c r="A83">
        <v>82</v>
      </c>
      <c r="B83" s="1">
        <v>2034279</v>
      </c>
      <c r="C83" s="1">
        <f t="shared" si="1"/>
        <v>194042</v>
      </c>
    </row>
    <row r="84" spans="1:3">
      <c r="A84">
        <v>83</v>
      </c>
      <c r="B84" s="1">
        <v>2228321</v>
      </c>
      <c r="C84" s="1">
        <f t="shared" si="1"/>
        <v>211767</v>
      </c>
    </row>
    <row r="85" spans="1:3">
      <c r="A85">
        <v>84</v>
      </c>
      <c r="B85" s="1">
        <v>2440088</v>
      </c>
      <c r="C85" s="1">
        <f t="shared" si="1"/>
        <v>231039</v>
      </c>
    </row>
    <row r="86" spans="1:3">
      <c r="A86">
        <v>85</v>
      </c>
      <c r="B86" s="1">
        <v>2671127</v>
      </c>
      <c r="C86" s="1">
        <f t="shared" si="1"/>
        <v>251986</v>
      </c>
    </row>
    <row r="87" spans="1:3">
      <c r="A87">
        <v>86</v>
      </c>
      <c r="B87" s="1">
        <v>2923113</v>
      </c>
      <c r="C87" s="1">
        <f t="shared" si="1"/>
        <v>274748</v>
      </c>
    </row>
    <row r="88" spans="1:3">
      <c r="A88">
        <v>87</v>
      </c>
      <c r="B88" s="1">
        <v>3197861</v>
      </c>
      <c r="C88" s="1">
        <f t="shared" si="1"/>
        <v>299474</v>
      </c>
    </row>
    <row r="89" spans="1:3">
      <c r="A89">
        <v>88</v>
      </c>
      <c r="B89" s="1">
        <v>3497335</v>
      </c>
      <c r="C89" s="1">
        <f t="shared" si="1"/>
        <v>326328</v>
      </c>
    </row>
    <row r="90" spans="1:3">
      <c r="A90">
        <v>89</v>
      </c>
      <c r="B90" s="1">
        <v>3823663</v>
      </c>
      <c r="C90" s="1">
        <f t="shared" si="1"/>
        <v>355482</v>
      </c>
    </row>
    <row r="91" spans="1:3">
      <c r="A91">
        <v>90</v>
      </c>
      <c r="B91" s="1">
        <v>4179145</v>
      </c>
      <c r="C91" s="1">
        <f t="shared" si="1"/>
        <v>387129</v>
      </c>
    </row>
    <row r="92" spans="1:3">
      <c r="A92">
        <v>91</v>
      </c>
      <c r="B92" s="1">
        <v>4566274</v>
      </c>
      <c r="C92" s="1">
        <f t="shared" si="1"/>
        <v>421467</v>
      </c>
    </row>
    <row r="93" spans="1:3">
      <c r="A93">
        <v>92</v>
      </c>
      <c r="B93" s="1">
        <v>4987741</v>
      </c>
      <c r="C93" s="1">
        <f t="shared" si="1"/>
        <v>458722</v>
      </c>
    </row>
    <row r="94" spans="1:3">
      <c r="A94">
        <v>93</v>
      </c>
      <c r="B94" s="1">
        <v>5446463</v>
      </c>
      <c r="C94" s="1">
        <f t="shared" si="1"/>
        <v>499124</v>
      </c>
    </row>
    <row r="95" spans="1:3">
      <c r="A95">
        <v>94</v>
      </c>
      <c r="B95" s="1">
        <v>5945587</v>
      </c>
      <c r="C95" s="1">
        <f t="shared" si="1"/>
        <v>542934</v>
      </c>
    </row>
    <row r="96" spans="1:3">
      <c r="A96">
        <v>95</v>
      </c>
      <c r="B96" s="1">
        <v>6488521</v>
      </c>
      <c r="C96" s="1">
        <f t="shared" si="1"/>
        <v>590424</v>
      </c>
    </row>
    <row r="97" spans="1:3">
      <c r="A97">
        <v>96</v>
      </c>
      <c r="B97" s="1">
        <v>7078945</v>
      </c>
      <c r="C97" s="1">
        <f t="shared" si="1"/>
        <v>641889</v>
      </c>
    </row>
    <row r="98" spans="1:3">
      <c r="A98">
        <v>97</v>
      </c>
      <c r="B98" s="1">
        <v>7720834</v>
      </c>
      <c r="C98" s="1">
        <f t="shared" si="1"/>
        <v>697651</v>
      </c>
    </row>
    <row r="99" spans="1:3">
      <c r="A99">
        <v>98</v>
      </c>
      <c r="B99" s="1">
        <v>8418485</v>
      </c>
      <c r="C99" s="1">
        <f t="shared" si="1"/>
        <v>758052</v>
      </c>
    </row>
    <row r="100" spans="1:3">
      <c r="A100">
        <v>99</v>
      </c>
      <c r="B100" s="1">
        <v>9176537</v>
      </c>
      <c r="C100" s="1">
        <f t="shared" si="1"/>
        <v>823463</v>
      </c>
    </row>
    <row r="101" spans="1:3">
      <c r="A101">
        <v>100</v>
      </c>
      <c r="B101" s="1">
        <v>10000000</v>
      </c>
      <c r="C101" s="1">
        <f t="shared" si="1"/>
        <v>1404976</v>
      </c>
    </row>
    <row r="102" spans="1:3">
      <c r="A102">
        <v>101</v>
      </c>
      <c r="B102" s="1">
        <v>11404976</v>
      </c>
      <c r="C102" s="1">
        <f t="shared" si="1"/>
        <v>1499591</v>
      </c>
    </row>
    <row r="103" spans="1:3">
      <c r="A103">
        <v>102</v>
      </c>
      <c r="B103" s="1">
        <v>12904567</v>
      </c>
      <c r="C103" s="1">
        <f t="shared" si="1"/>
        <v>1609833</v>
      </c>
    </row>
    <row r="104" spans="1:3">
      <c r="A104">
        <v>103</v>
      </c>
      <c r="B104" s="1">
        <v>14514400</v>
      </c>
      <c r="C104" s="1">
        <f t="shared" si="1"/>
        <v>1727680</v>
      </c>
    </row>
    <row r="105" spans="1:3">
      <c r="A105">
        <v>104</v>
      </c>
      <c r="B105" s="1">
        <v>16242080</v>
      </c>
      <c r="C105" s="1">
        <f t="shared" si="1"/>
        <v>1853622</v>
      </c>
    </row>
    <row r="106" spans="1:3">
      <c r="A106">
        <v>105</v>
      </c>
      <c r="B106" s="1">
        <v>18095702</v>
      </c>
      <c r="C106" s="1">
        <f t="shared" si="1"/>
        <v>1988184</v>
      </c>
    </row>
    <row r="107" spans="1:3">
      <c r="A107">
        <v>106</v>
      </c>
      <c r="B107" s="1">
        <v>20083886</v>
      </c>
      <c r="C107" s="1">
        <f t="shared" si="1"/>
        <v>2131922</v>
      </c>
    </row>
    <row r="108" spans="1:3">
      <c r="A108">
        <v>107</v>
      </c>
      <c r="B108" s="1">
        <v>22215808</v>
      </c>
      <c r="C108" s="1">
        <f t="shared" si="1"/>
        <v>2285422</v>
      </c>
    </row>
    <row r="109" spans="1:3">
      <c r="A109">
        <v>108</v>
      </c>
      <c r="B109" s="1">
        <v>24501230</v>
      </c>
      <c r="C109" s="1">
        <f t="shared" si="1"/>
        <v>2449310</v>
      </c>
    </row>
    <row r="110" spans="1:3">
      <c r="A110">
        <v>109</v>
      </c>
      <c r="B110" s="1">
        <v>26950540</v>
      </c>
      <c r="C110" s="1">
        <f t="shared" si="1"/>
        <v>2624247</v>
      </c>
    </row>
    <row r="111" spans="1:3">
      <c r="A111">
        <v>110</v>
      </c>
      <c r="B111" s="1">
        <v>29574787</v>
      </c>
      <c r="C111" s="1">
        <f t="shared" si="1"/>
        <v>2810934</v>
      </c>
    </row>
    <row r="112" spans="1:3">
      <c r="A112">
        <v>111</v>
      </c>
      <c r="B112" s="1">
        <v>32385721</v>
      </c>
      <c r="C112" s="1">
        <f t="shared" si="1"/>
        <v>3010117</v>
      </c>
    </row>
    <row r="113" spans="1:3">
      <c r="A113">
        <v>112</v>
      </c>
      <c r="B113" s="1">
        <v>35395838</v>
      </c>
      <c r="C113" s="1">
        <f t="shared" si="1"/>
        <v>3222582</v>
      </c>
    </row>
    <row r="114" spans="1:3">
      <c r="A114">
        <v>113</v>
      </c>
      <c r="B114" s="1">
        <v>38618420</v>
      </c>
      <c r="C114" s="1">
        <f t="shared" si="1"/>
        <v>3449164</v>
      </c>
    </row>
    <row r="115" spans="1:3">
      <c r="A115">
        <v>114</v>
      </c>
      <c r="B115" s="1">
        <v>42067584</v>
      </c>
      <c r="C115" s="1">
        <f t="shared" si="1"/>
        <v>3690748</v>
      </c>
    </row>
    <row r="116" spans="1:3">
      <c r="A116">
        <v>115</v>
      </c>
      <c r="B116" s="1">
        <v>45758332</v>
      </c>
      <c r="C116" s="1">
        <f t="shared" si="1"/>
        <v>3948271</v>
      </c>
    </row>
    <row r="117" spans="1:3">
      <c r="A117">
        <v>116</v>
      </c>
      <c r="B117" s="1">
        <v>49706603</v>
      </c>
      <c r="C117" s="1">
        <f t="shared" si="1"/>
        <v>4222725</v>
      </c>
    </row>
    <row r="118" spans="1:3">
      <c r="A118">
        <v>117</v>
      </c>
      <c r="B118" s="1">
        <v>53929328</v>
      </c>
      <c r="C118" s="1">
        <f t="shared" si="1"/>
        <v>4515161</v>
      </c>
    </row>
    <row r="119" spans="1:3">
      <c r="A119">
        <v>118</v>
      </c>
      <c r="B119" s="1">
        <v>58444489</v>
      </c>
      <c r="C119" s="1">
        <f t="shared" si="1"/>
        <v>4826690</v>
      </c>
    </row>
    <row r="120" spans="1:3">
      <c r="A120">
        <v>119</v>
      </c>
      <c r="B120" s="1">
        <v>63271179</v>
      </c>
      <c r="C120" s="1">
        <f t="shared" si="1"/>
        <v>5158491</v>
      </c>
    </row>
    <row r="121" spans="1:3">
      <c r="A121">
        <v>120</v>
      </c>
      <c r="B121" s="1">
        <v>68429670</v>
      </c>
      <c r="C121" s="1">
        <f t="shared" si="1"/>
        <v>5511809</v>
      </c>
    </row>
    <row r="122" spans="1:3">
      <c r="A122">
        <v>121</v>
      </c>
      <c r="B122" s="1">
        <v>73941479</v>
      </c>
      <c r="C122" s="1">
        <f t="shared" si="1"/>
        <v>5887961</v>
      </c>
    </row>
    <row r="123" spans="1:3">
      <c r="A123">
        <v>122</v>
      </c>
      <c r="B123" s="1">
        <v>79829440</v>
      </c>
      <c r="C123" s="1">
        <f t="shared" si="1"/>
        <v>6288343</v>
      </c>
    </row>
    <row r="124" spans="1:3">
      <c r="A124">
        <v>123</v>
      </c>
      <c r="B124" s="1">
        <v>86117783</v>
      </c>
      <c r="C124" s="1">
        <f t="shared" si="1"/>
        <v>6714431</v>
      </c>
    </row>
    <row r="125" spans="1:3">
      <c r="A125">
        <v>124</v>
      </c>
      <c r="B125" s="1">
        <v>92832214</v>
      </c>
      <c r="C125" s="1">
        <f t="shared" si="1"/>
        <v>7167786</v>
      </c>
    </row>
    <row r="126" spans="1:3">
      <c r="A126">
        <v>125</v>
      </c>
      <c r="B126" s="1">
        <v>100000000</v>
      </c>
      <c r="C126" s="1">
        <f t="shared" si="1"/>
        <v>14406130</v>
      </c>
    </row>
    <row r="127" spans="1:3">
      <c r="A127">
        <v>126</v>
      </c>
      <c r="B127" s="1">
        <v>114406130</v>
      </c>
      <c r="C127" s="1">
        <f t="shared" si="1"/>
        <v>15712264</v>
      </c>
    </row>
    <row r="128" spans="1:3">
      <c r="A128">
        <v>127</v>
      </c>
      <c r="B128" s="1">
        <v>130118394</v>
      </c>
      <c r="C128" s="1">
        <f t="shared" si="1"/>
        <v>17201262</v>
      </c>
    </row>
    <row r="129" spans="1:3">
      <c r="A129">
        <v>128</v>
      </c>
      <c r="B129" s="1">
        <v>147319656</v>
      </c>
      <c r="C129" s="1">
        <f t="shared" si="1"/>
        <v>18827962</v>
      </c>
    </row>
    <row r="130" spans="1:3">
      <c r="A130">
        <v>129</v>
      </c>
      <c r="B130" s="1">
        <v>166147618</v>
      </c>
      <c r="C130" s="1">
        <f t="shared" ref="C130:C193" si="2">IFERROR(B131-B130,0)</f>
        <v>20604810</v>
      </c>
    </row>
    <row r="131" spans="1:3">
      <c r="A131">
        <v>130</v>
      </c>
      <c r="B131" s="1">
        <v>186752428</v>
      </c>
      <c r="C131" s="1">
        <f t="shared" si="2"/>
        <v>22545343</v>
      </c>
    </row>
    <row r="132" spans="1:3">
      <c r="A132">
        <v>131</v>
      </c>
      <c r="B132" s="1">
        <v>209297771</v>
      </c>
      <c r="C132" s="1">
        <f t="shared" si="2"/>
        <v>24664301</v>
      </c>
    </row>
    <row r="133" spans="1:3">
      <c r="A133">
        <v>132</v>
      </c>
      <c r="B133" s="1">
        <v>233962072</v>
      </c>
      <c r="C133" s="1">
        <f t="shared" si="2"/>
        <v>26977715</v>
      </c>
    </row>
    <row r="134" spans="1:3">
      <c r="A134">
        <v>133</v>
      </c>
      <c r="B134" s="1">
        <v>260939787</v>
      </c>
      <c r="C134" s="1">
        <f t="shared" si="2"/>
        <v>29503027</v>
      </c>
    </row>
    <row r="135" spans="1:3">
      <c r="A135">
        <v>134</v>
      </c>
      <c r="B135" s="1">
        <v>290442814</v>
      </c>
      <c r="C135" s="1">
        <f t="shared" si="2"/>
        <v>32259214</v>
      </c>
    </row>
    <row r="136" spans="1:3">
      <c r="A136">
        <v>135</v>
      </c>
      <c r="B136" s="1">
        <v>322702028</v>
      </c>
      <c r="C136" s="1">
        <f t="shared" si="2"/>
        <v>35266910</v>
      </c>
    </row>
    <row r="137" spans="1:3">
      <c r="A137">
        <v>136</v>
      </c>
      <c r="B137" s="1">
        <v>357968938</v>
      </c>
      <c r="C137" s="1">
        <f t="shared" si="2"/>
        <v>38548557</v>
      </c>
    </row>
    <row r="138" spans="1:3">
      <c r="A138">
        <v>137</v>
      </c>
      <c r="B138" s="1">
        <v>396517495</v>
      </c>
      <c r="C138" s="1">
        <f t="shared" si="2"/>
        <v>42128558</v>
      </c>
    </row>
    <row r="139" spans="1:3">
      <c r="A139">
        <v>138</v>
      </c>
      <c r="B139" s="1">
        <v>438646053</v>
      </c>
      <c r="C139" s="1">
        <f t="shared" si="2"/>
        <v>46033441</v>
      </c>
    </row>
    <row r="140" spans="1:3">
      <c r="A140">
        <v>139</v>
      </c>
      <c r="B140" s="1">
        <v>484679494</v>
      </c>
      <c r="C140" s="1">
        <f t="shared" si="2"/>
        <v>50292044</v>
      </c>
    </row>
    <row r="141" spans="1:3">
      <c r="A141">
        <v>140</v>
      </c>
      <c r="B141" s="1">
        <v>534971538</v>
      </c>
      <c r="C141" s="1">
        <f t="shared" si="2"/>
        <v>54935714</v>
      </c>
    </row>
    <row r="142" spans="1:3">
      <c r="A142">
        <v>141</v>
      </c>
      <c r="B142" s="1">
        <v>589907252</v>
      </c>
      <c r="C142" s="1">
        <f t="shared" si="2"/>
        <v>59998511</v>
      </c>
    </row>
    <row r="143" spans="1:3">
      <c r="A143">
        <v>142</v>
      </c>
      <c r="B143" s="1">
        <v>649905763</v>
      </c>
      <c r="C143" s="1">
        <f t="shared" si="2"/>
        <v>65517455</v>
      </c>
    </row>
    <row r="144" spans="1:3">
      <c r="A144">
        <v>143</v>
      </c>
      <c r="B144" s="1">
        <v>715423218</v>
      </c>
      <c r="C144" s="1">
        <f t="shared" si="2"/>
        <v>71532759</v>
      </c>
    </row>
    <row r="145" spans="1:3">
      <c r="A145">
        <v>144</v>
      </c>
      <c r="B145" s="1">
        <v>786955977</v>
      </c>
      <c r="C145" s="1">
        <f t="shared" si="2"/>
        <v>78088116</v>
      </c>
    </row>
    <row r="146" spans="1:3">
      <c r="A146">
        <v>145</v>
      </c>
      <c r="B146" s="1">
        <v>865044093</v>
      </c>
      <c r="C146" s="1">
        <f t="shared" si="2"/>
        <v>85230981</v>
      </c>
    </row>
    <row r="147" spans="1:3">
      <c r="A147">
        <v>146</v>
      </c>
      <c r="B147" s="1">
        <v>950275074</v>
      </c>
      <c r="C147" s="1">
        <f t="shared" si="2"/>
        <v>93012897</v>
      </c>
    </row>
    <row r="148" spans="1:3">
      <c r="A148">
        <v>147</v>
      </c>
      <c r="B148" s="1">
        <v>1043287971</v>
      </c>
      <c r="C148" s="1">
        <f t="shared" si="2"/>
        <v>101489833</v>
      </c>
    </row>
    <row r="149" spans="1:3">
      <c r="A149">
        <v>148</v>
      </c>
      <c r="B149" s="1">
        <v>1144777804</v>
      </c>
      <c r="C149" s="1">
        <f t="shared" si="2"/>
        <v>110722569</v>
      </c>
    </row>
    <row r="150" spans="1:3">
      <c r="A150">
        <v>149</v>
      </c>
      <c r="B150" s="1">
        <v>1255500373</v>
      </c>
      <c r="C150" s="1">
        <f t="shared" si="2"/>
        <v>120777085</v>
      </c>
    </row>
    <row r="151" spans="1:3">
      <c r="A151">
        <v>150</v>
      </c>
      <c r="B151" s="1">
        <v>1376277458</v>
      </c>
      <c r="C151" s="1">
        <f t="shared" si="2"/>
        <v>131725012</v>
      </c>
    </row>
    <row r="152" spans="1:3">
      <c r="A152">
        <v>151</v>
      </c>
      <c r="B152" s="1">
        <v>1508002470</v>
      </c>
      <c r="C152" s="1">
        <f t="shared" si="2"/>
        <v>143644096</v>
      </c>
    </row>
    <row r="153" spans="1:3">
      <c r="A153">
        <v>152</v>
      </c>
      <c r="B153" s="1">
        <v>1651646566</v>
      </c>
      <c r="C153" s="1">
        <f t="shared" si="2"/>
        <v>156618719</v>
      </c>
    </row>
    <row r="154" spans="1:3">
      <c r="A154">
        <v>153</v>
      </c>
      <c r="B154" s="1">
        <v>1808265285</v>
      </c>
      <c r="C154" s="1">
        <f t="shared" si="2"/>
        <v>170740445</v>
      </c>
    </row>
    <row r="155" spans="1:3">
      <c r="A155">
        <v>154</v>
      </c>
      <c r="B155" s="1">
        <v>1979005730</v>
      </c>
      <c r="C155" s="1">
        <f t="shared" si="2"/>
        <v>186108628</v>
      </c>
    </row>
    <row r="156" spans="1:3">
      <c r="A156">
        <v>155</v>
      </c>
      <c r="B156" s="1">
        <v>2165114358</v>
      </c>
      <c r="C156" s="1">
        <f t="shared" si="2"/>
        <v>202831060</v>
      </c>
    </row>
    <row r="157" spans="1:3">
      <c r="A157">
        <v>156</v>
      </c>
      <c r="B157" s="1">
        <v>2367945418</v>
      </c>
      <c r="C157" s="1">
        <f t="shared" si="2"/>
        <v>221024671</v>
      </c>
    </row>
    <row r="158" spans="1:3">
      <c r="A158">
        <v>157</v>
      </c>
      <c r="B158" s="1">
        <v>2588970089</v>
      </c>
      <c r="C158" s="1">
        <f t="shared" si="2"/>
        <v>240816292</v>
      </c>
    </row>
    <row r="159" spans="1:3">
      <c r="A159">
        <v>158</v>
      </c>
      <c r="B159" s="1">
        <v>2829786381</v>
      </c>
      <c r="C159" s="1">
        <f t="shared" si="2"/>
        <v>262343476</v>
      </c>
    </row>
    <row r="160" spans="1:3">
      <c r="A160">
        <v>159</v>
      </c>
      <c r="B160" s="1">
        <v>3092129857</v>
      </c>
      <c r="C160" s="1">
        <f t="shared" si="2"/>
        <v>285755393</v>
      </c>
    </row>
    <row r="161" spans="1:3">
      <c r="A161">
        <v>160</v>
      </c>
      <c r="B161" s="1">
        <v>3377885250</v>
      </c>
      <c r="C161" s="1">
        <f t="shared" si="2"/>
        <v>311213781</v>
      </c>
    </row>
    <row r="162" spans="1:3">
      <c r="A162">
        <v>161</v>
      </c>
      <c r="B162" s="1">
        <v>3689099031</v>
      </c>
      <c r="C162" s="1">
        <f t="shared" si="2"/>
        <v>338894002</v>
      </c>
    </row>
    <row r="163" spans="1:3">
      <c r="A163">
        <v>162</v>
      </c>
      <c r="B163" s="1">
        <v>4027993033</v>
      </c>
      <c r="C163" s="1">
        <f t="shared" si="2"/>
        <v>368986151</v>
      </c>
    </row>
    <row r="164" spans="1:3">
      <c r="A164">
        <v>163</v>
      </c>
      <c r="B164" s="1">
        <v>4396979184</v>
      </c>
      <c r="C164" s="1">
        <f t="shared" si="2"/>
        <v>401696287</v>
      </c>
    </row>
    <row r="165" spans="1:3">
      <c r="A165">
        <v>164</v>
      </c>
      <c r="B165" s="1">
        <v>4798675471</v>
      </c>
      <c r="C165" s="1">
        <f t="shared" si="2"/>
        <v>437247736</v>
      </c>
    </row>
    <row r="166" spans="1:3">
      <c r="A166">
        <v>165</v>
      </c>
      <c r="B166" s="1">
        <v>5235923207</v>
      </c>
      <c r="C166" s="1">
        <f t="shared" si="2"/>
        <v>475882521</v>
      </c>
    </row>
    <row r="167" spans="1:3">
      <c r="A167">
        <v>166</v>
      </c>
      <c r="B167" s="1">
        <v>5711805728</v>
      </c>
      <c r="C167" s="1">
        <f t="shared" si="2"/>
        <v>517862896</v>
      </c>
    </row>
    <row r="168" spans="1:3">
      <c r="A168">
        <v>167</v>
      </c>
      <c r="B168" s="1">
        <v>6229668624</v>
      </c>
      <c r="C168" s="1">
        <f t="shared" si="2"/>
        <v>563473004</v>
      </c>
    </row>
    <row r="169" spans="1:3">
      <c r="A169">
        <v>168</v>
      </c>
      <c r="B169" s="1">
        <v>6793141628</v>
      </c>
      <c r="C169" s="1">
        <f t="shared" si="2"/>
        <v>613020673</v>
      </c>
    </row>
    <row r="170" spans="1:3">
      <c r="A170">
        <v>169</v>
      </c>
      <c r="B170" s="1">
        <v>7406162301</v>
      </c>
      <c r="C170" s="1">
        <f t="shared" si="2"/>
        <v>666839361</v>
      </c>
    </row>
    <row r="171" spans="1:3">
      <c r="A171">
        <v>170</v>
      </c>
      <c r="B171" s="1">
        <v>8073001662</v>
      </c>
      <c r="C171" s="1">
        <f t="shared" si="2"/>
        <v>725290240</v>
      </c>
    </row>
    <row r="172" spans="1:3">
      <c r="A172">
        <v>171</v>
      </c>
      <c r="B172" s="1">
        <v>8798291902</v>
      </c>
      <c r="C172" s="1">
        <f t="shared" si="2"/>
        <v>788764470</v>
      </c>
    </row>
    <row r="173" spans="1:3">
      <c r="A173">
        <v>172</v>
      </c>
      <c r="B173" s="1">
        <v>9587056372</v>
      </c>
      <c r="C173" s="1">
        <f t="shared" si="2"/>
        <v>857685635</v>
      </c>
    </row>
    <row r="174" spans="1:3">
      <c r="A174">
        <v>173</v>
      </c>
      <c r="B174" s="1">
        <v>10444742007</v>
      </c>
      <c r="C174" s="1">
        <f t="shared" si="2"/>
        <v>932512394</v>
      </c>
    </row>
    <row r="175" spans="1:3">
      <c r="A175">
        <v>174</v>
      </c>
      <c r="B175" s="1">
        <v>11377254401</v>
      </c>
      <c r="C175" s="1">
        <f t="shared" si="2"/>
        <v>1013741327</v>
      </c>
    </row>
    <row r="176" spans="1:3">
      <c r="A176">
        <v>175</v>
      </c>
      <c r="B176" s="1">
        <v>12390995728</v>
      </c>
      <c r="C176" s="1">
        <f t="shared" si="2"/>
        <v>1101910017</v>
      </c>
    </row>
    <row r="177" spans="1:3">
      <c r="A177">
        <v>176</v>
      </c>
      <c r="B177" s="1">
        <v>13492905745</v>
      </c>
      <c r="C177" s="1">
        <f t="shared" si="2"/>
        <v>1197600375</v>
      </c>
    </row>
    <row r="178" spans="1:3">
      <c r="A178">
        <v>177</v>
      </c>
      <c r="B178" s="1">
        <v>14690506120</v>
      </c>
      <c r="C178" s="1">
        <f t="shared" si="2"/>
        <v>1301442241</v>
      </c>
    </row>
    <row r="179" spans="1:3">
      <c r="A179">
        <v>178</v>
      </c>
      <c r="B179" s="1">
        <v>15991948361</v>
      </c>
      <c r="C179" s="1">
        <f t="shared" si="2"/>
        <v>1414117248</v>
      </c>
    </row>
    <row r="180" spans="1:3">
      <c r="A180">
        <v>179</v>
      </c>
      <c r="B180" s="1">
        <v>17406065609</v>
      </c>
      <c r="C180" s="1">
        <f t="shared" si="2"/>
        <v>1536363024</v>
      </c>
    </row>
    <row r="181" spans="1:3">
      <c r="A181">
        <v>180</v>
      </c>
      <c r="B181" s="1">
        <v>18942428633</v>
      </c>
      <c r="C181" s="1">
        <f t="shared" si="2"/>
        <v>1668977702</v>
      </c>
    </row>
    <row r="182" spans="1:3">
      <c r="A182">
        <v>181</v>
      </c>
      <c r="B182" s="1">
        <v>20611406335</v>
      </c>
      <c r="C182" s="1">
        <f t="shared" si="2"/>
        <v>1812824804</v>
      </c>
    </row>
    <row r="183" spans="1:3">
      <c r="A183">
        <v>182</v>
      </c>
      <c r="B183" s="1">
        <v>22424231139</v>
      </c>
      <c r="C183" s="1">
        <f t="shared" si="2"/>
        <v>1968838501</v>
      </c>
    </row>
    <row r="184" spans="1:3">
      <c r="A184">
        <v>183</v>
      </c>
      <c r="B184" s="1">
        <v>24393069640</v>
      </c>
      <c r="C184" s="1">
        <f t="shared" si="2"/>
        <v>2138029305</v>
      </c>
    </row>
    <row r="185" spans="1:3">
      <c r="A185">
        <v>184</v>
      </c>
      <c r="B185" s="1">
        <v>26531098945</v>
      </c>
      <c r="C185" s="1">
        <f t="shared" si="2"/>
        <v>2321490193</v>
      </c>
    </row>
    <row r="186" spans="1:3">
      <c r="A186">
        <v>185</v>
      </c>
      <c r="B186" s="1">
        <v>28852589138</v>
      </c>
      <c r="C186" s="1">
        <f t="shared" si="2"/>
        <v>2520403225</v>
      </c>
    </row>
    <row r="187" spans="1:3">
      <c r="A187">
        <v>186</v>
      </c>
      <c r="B187" s="1">
        <v>31372992363</v>
      </c>
      <c r="C187" s="1">
        <f t="shared" si="2"/>
        <v>2736046691</v>
      </c>
    </row>
    <row r="188" spans="1:3">
      <c r="A188">
        <v>187</v>
      </c>
      <c r="B188" s="1">
        <v>34109039054</v>
      </c>
      <c r="C188" s="1">
        <f t="shared" si="2"/>
        <v>2969802806</v>
      </c>
    </row>
    <row r="189" spans="1:3">
      <c r="A189">
        <v>188</v>
      </c>
      <c r="B189" s="1">
        <v>37078841860</v>
      </c>
      <c r="C189" s="1">
        <f t="shared" si="2"/>
        <v>3223166015</v>
      </c>
    </row>
    <row r="190" spans="1:3">
      <c r="A190">
        <v>189</v>
      </c>
      <c r="B190" s="1">
        <v>40302007875</v>
      </c>
      <c r="C190" s="1">
        <f t="shared" si="2"/>
        <v>3497751968</v>
      </c>
    </row>
    <row r="191" spans="1:3">
      <c r="A191">
        <v>190</v>
      </c>
      <c r="B191" s="1">
        <v>43799759843</v>
      </c>
      <c r="C191" s="1">
        <f t="shared" si="2"/>
        <v>3795307178</v>
      </c>
    </row>
    <row r="192" spans="1:3">
      <c r="A192">
        <v>191</v>
      </c>
      <c r="B192" s="1">
        <v>47595067021</v>
      </c>
      <c r="C192" s="1">
        <f t="shared" si="2"/>
        <v>4117719444</v>
      </c>
    </row>
    <row r="193" spans="1:3">
      <c r="A193">
        <v>192</v>
      </c>
      <c r="B193" s="1">
        <v>51712786465</v>
      </c>
      <c r="C193" s="1">
        <f t="shared" si="2"/>
        <v>4467029099</v>
      </c>
    </row>
    <row r="194" spans="1:3">
      <c r="A194">
        <v>193</v>
      </c>
      <c r="B194" s="1">
        <v>56179815564</v>
      </c>
      <c r="C194" s="1">
        <f t="shared" ref="C194:C200" si="3">IFERROR(B195-B194,0)</f>
        <v>4845441132</v>
      </c>
    </row>
    <row r="195" spans="1:3">
      <c r="A195">
        <v>194</v>
      </c>
      <c r="B195" s="1">
        <v>61025256696</v>
      </c>
      <c r="C195" s="1">
        <f t="shared" si="3"/>
        <v>5255338257</v>
      </c>
    </row>
    <row r="196" spans="1:3">
      <c r="A196">
        <v>195</v>
      </c>
      <c r="B196" s="1">
        <v>66280594953</v>
      </c>
      <c r="C196" s="1">
        <f t="shared" si="3"/>
        <v>5699295007</v>
      </c>
    </row>
    <row r="197" spans="1:3">
      <c r="A197">
        <v>196</v>
      </c>
      <c r="B197" s="1">
        <v>71979889960</v>
      </c>
      <c r="C197" s="1">
        <f t="shared" si="3"/>
        <v>6180092921</v>
      </c>
    </row>
    <row r="198" spans="1:3">
      <c r="A198">
        <v>197</v>
      </c>
      <c r="B198" s="1">
        <v>78159982881</v>
      </c>
      <c r="C198" s="1">
        <f t="shared" si="3"/>
        <v>6700736933</v>
      </c>
    </row>
    <row r="199" spans="1:3">
      <c r="A199">
        <v>198</v>
      </c>
      <c r="B199" s="1">
        <v>84860719814</v>
      </c>
      <c r="C199" s="1">
        <f t="shared" si="3"/>
        <v>7264473008</v>
      </c>
    </row>
    <row r="200" spans="1:3">
      <c r="A200">
        <v>199</v>
      </c>
      <c r="B200" s="1">
        <v>92125192822</v>
      </c>
      <c r="C200" s="1">
        <f t="shared" si="3"/>
        <v>7874807178</v>
      </c>
    </row>
    <row r="201" spans="1:2">
      <c r="A201">
        <v>200</v>
      </c>
      <c r="B201" s="1">
        <v>100000000000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专业练级</vt:lpstr>
      <vt:lpstr>专业经验表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Sunrishe</dc:creator>
  <cp:lastModifiedBy>Sunrishe</cp:lastModifiedBy>
  <dcterms:created xsi:type="dcterms:W3CDTF">2026-07-26T15:22:00Z</dcterms:created>
  <dcterms:modified xsi:type="dcterms:W3CDTF">2026-07-26T15:35:33Z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AE2B2F6FB162440F823798A79E44473B</vt:lpwstr>
  </property>
  <property fmtid="{D5CDD505-2E9C-101B-9397-08002B2CF9AE}" pid="3" name="KSOProductBuildVer">
    <vt:lpwstr>2052-11.8.2.12300</vt:lpwstr>
  </property>
</Properties>
</file>